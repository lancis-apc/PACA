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ANCIS Dropbox\A PC\PACA\diagno\aptitud\web\PACA\docs\source\recursos\energia\grad_sal\"/>
    </mc:Choice>
  </mc:AlternateContent>
  <xr:revisionPtr revIDLastSave="0" documentId="13_ncr:1_{4BCBA00C-DF0D-412B-87E6-741C4C36EA46}" xr6:coauthVersionLast="47" xr6:coauthVersionMax="47" xr10:uidLastSave="{00000000-0000-0000-0000-000000000000}"/>
  <bookViews>
    <workbookView xWindow="-120" yWindow="-120" windowWidth="20730" windowHeight="11160" xr2:uid="{C74C4125-4B3A-4D8B-8F3A-4F072A0C490F}"/>
  </bookViews>
  <sheets>
    <sheet name="nombre_ifv" sheetId="5" r:id="rId1"/>
    <sheet name="clasificacion" sheetId="2" r:id="rId2"/>
  </sheets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5" l="1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<sst xmlns="http://schemas.openxmlformats.org/spreadsheetml/2006/main" count="56" uniqueCount="34">
  <si>
    <t>Baja</t>
  </si>
  <si>
    <t>Moderada</t>
  </si>
  <si>
    <t>Nula</t>
  </si>
  <si>
    <t>Alta</t>
  </si>
  <si>
    <t>id</t>
  </si>
  <si>
    <t>Importancia</t>
  </si>
  <si>
    <t>Muy alta</t>
  </si>
  <si>
    <t>Categoría mapa</t>
  </si>
  <si>
    <t>Equidistante</t>
  </si>
  <si>
    <t xml:space="preserve">Mejor condición </t>
  </si>
  <si>
    <t>Peor condición</t>
  </si>
  <si>
    <t>ND</t>
  </si>
  <si>
    <t>Barra de Tecoanapa (Desembocadura del Río Ometepec)</t>
  </si>
  <si>
    <t>Boca de Pantla</t>
  </si>
  <si>
    <t>Boca del Río de la Unión</t>
  </si>
  <si>
    <t>Chacahua-Pastoría</t>
  </si>
  <si>
    <t>Chantecuan</t>
  </si>
  <si>
    <t>Coyuca-Mitla</t>
  </si>
  <si>
    <t>Ixtapa</t>
  </si>
  <si>
    <t>La Encrucijada</t>
  </si>
  <si>
    <t>La Joya</t>
  </si>
  <si>
    <t>Laguna Barra de Navidad</t>
  </si>
  <si>
    <t>Laguna Chalacatepec</t>
  </si>
  <si>
    <t>Laguna El Caimán</t>
  </si>
  <si>
    <t>Laguna El Potosí</t>
  </si>
  <si>
    <t>Laguna de Cuyutlán</t>
  </si>
  <si>
    <t>Lagunas Cabildo-Amatal-Gancho Murillo</t>
  </si>
  <si>
    <t>Los Patos Solo Dios</t>
  </si>
  <si>
    <t>Mar Muerto</t>
  </si>
  <si>
    <t>Sistema Chamela-Cuixmala</t>
  </si>
  <si>
    <t>Sistema Lagunar Estuarino Agua Dulce-El Ermitaño</t>
  </si>
  <si>
    <t>Sistema Lagunar Huave</t>
  </si>
  <si>
    <t>Categoría</t>
  </si>
  <si>
    <t>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</si>
</sst>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3703E-6B17-4D2C-8285-C250314FC6F7}">
  <sheetPr codeName="Hoja5"/>
  <dimension ref="A1:D22"/>
  <sheetViews>
    <sheetView tabSelected="1" topLeftCell="A13" zoomScale="170" zoomScaleNormal="170" workbookViewId="0">
      <selection activeCell="B1" sqref="B1:D22"/>
    </sheetView>
  </sheetViews>
  <sheetFormatPr baseColWidth="10" defaultRowHeight="15" x14ac:dyDescent="0.25"/>
  <cols>
    <col min="2" max="2" width="48.5703125" bestFit="1" customWidth="1"/>
    <col min="3" max="3" width="19" customWidth="1"/>
    <col min="4" max="4" width="5.28515625" customWidth="1"/>
  </cols>
  <sheetData>
    <row r="1" spans="1:4" x14ac:dyDescent="0.25">
      <c r="A1" t="s">
        <v>4</v>
      </c>
      <c r="B1" t="s">
        <v>32</v>
      </c>
      <c r="C1" t="s">
        <v>5</v>
      </c>
      <c r="D1" t="s">
        <v>33</v>
      </c>
    </row>
    <row r="2" spans="1:4" x14ac:dyDescent="0.25">
      <c r="A2">
        <v>0</v>
      </c>
      <c r="B2" t="s">
        <v>11</v>
      </c>
      <c r="C2" t="s">
        <v>2</v>
      </c>
      <c r="D2">
        <f>VLOOKUP(C2,clasificacion!$A$1:$C$6,3,FALSE)</f>
        <v>0</v>
      </c>
    </row>
    <row r="3" spans="1:4" x14ac:dyDescent="0.25">
      <c r="A3">
        <v>1</v>
      </c>
      <c r="B3" t="s">
        <v>12</v>
      </c>
      <c r="C3" t="s">
        <v>0</v>
      </c>
      <c r="D3">
        <f>VLOOKUP(C3,clasificacion!$A$1:$C$6,3,FALSE)</f>
        <v>0.25</v>
      </c>
    </row>
    <row r="4" spans="1:4" x14ac:dyDescent="0.25">
      <c r="A4">
        <v>2</v>
      </c>
      <c r="B4" t="s">
        <v>13</v>
      </c>
      <c r="C4" t="s">
        <v>2</v>
      </c>
      <c r="D4">
        <f>VLOOKUP(C4,clasificacion!$A$1:$C$6,3,FALSE)</f>
        <v>0</v>
      </c>
    </row>
    <row r="5" spans="1:4" x14ac:dyDescent="0.25">
      <c r="A5">
        <v>3</v>
      </c>
      <c r="B5" t="s">
        <v>14</v>
      </c>
      <c r="C5" t="s">
        <v>2</v>
      </c>
      <c r="D5">
        <f>VLOOKUP(C5,clasificacion!$A$1:$C$6,3,FALSE)</f>
        <v>0</v>
      </c>
    </row>
    <row r="6" spans="1:4" x14ac:dyDescent="0.25">
      <c r="A6">
        <v>4</v>
      </c>
      <c r="B6" t="s">
        <v>15</v>
      </c>
      <c r="C6" t="s">
        <v>2</v>
      </c>
      <c r="D6">
        <f>VLOOKUP(C6,clasificacion!$A$1:$C$6,3,FALSE)</f>
        <v>0</v>
      </c>
    </row>
    <row r="7" spans="1:4" x14ac:dyDescent="0.25">
      <c r="A7">
        <v>5</v>
      </c>
      <c r="B7" t="s">
        <v>16</v>
      </c>
      <c r="C7" t="s">
        <v>2</v>
      </c>
      <c r="D7">
        <f>VLOOKUP(C7,clasificacion!$A$1:$C$6,3,FALSE)</f>
        <v>0</v>
      </c>
    </row>
    <row r="8" spans="1:4" x14ac:dyDescent="0.25">
      <c r="A8">
        <v>6</v>
      </c>
      <c r="B8" t="s">
        <v>17</v>
      </c>
      <c r="C8" t="s">
        <v>0</v>
      </c>
      <c r="D8">
        <f>VLOOKUP(C8,clasificacion!$A$1:$C$6,3,FALSE)</f>
        <v>0.25</v>
      </c>
    </row>
    <row r="9" spans="1:4" x14ac:dyDescent="0.25">
      <c r="A9">
        <v>7</v>
      </c>
      <c r="B9" t="s">
        <v>18</v>
      </c>
      <c r="C9" t="s">
        <v>2</v>
      </c>
      <c r="D9">
        <f>VLOOKUP(C9,clasificacion!$A$1:$C$6,3,FALSE)</f>
        <v>0</v>
      </c>
    </row>
    <row r="10" spans="1:4" x14ac:dyDescent="0.25">
      <c r="A10">
        <v>8</v>
      </c>
      <c r="B10" t="s">
        <v>19</v>
      </c>
      <c r="C10" t="s">
        <v>0</v>
      </c>
      <c r="D10">
        <f>VLOOKUP(C10,clasificacion!$A$1:$C$6,3,FALSE)</f>
        <v>0.25</v>
      </c>
    </row>
    <row r="11" spans="1:4" x14ac:dyDescent="0.25">
      <c r="A11">
        <v>9</v>
      </c>
      <c r="B11" t="s">
        <v>20</v>
      </c>
      <c r="C11" t="s">
        <v>1</v>
      </c>
      <c r="D11">
        <f>VLOOKUP(C11,clasificacion!$A$1:$C$6,3,FALSE)</f>
        <v>0.5</v>
      </c>
    </row>
    <row r="12" spans="1:4" x14ac:dyDescent="0.25">
      <c r="A12">
        <v>10</v>
      </c>
      <c r="B12" t="s">
        <v>21</v>
      </c>
      <c r="C12" t="s">
        <v>2</v>
      </c>
      <c r="D12">
        <f>VLOOKUP(C12,clasificacion!$A$1:$C$6,3,FALSE)</f>
        <v>0</v>
      </c>
    </row>
    <row r="13" spans="1:4" x14ac:dyDescent="0.25">
      <c r="A13">
        <v>11</v>
      </c>
      <c r="B13" t="s">
        <v>22</v>
      </c>
      <c r="C13" t="s">
        <v>2</v>
      </c>
      <c r="D13">
        <f>VLOOKUP(C13,clasificacion!$A$1:$C$6,3,FALSE)</f>
        <v>0</v>
      </c>
    </row>
    <row r="14" spans="1:4" x14ac:dyDescent="0.25">
      <c r="A14">
        <v>12</v>
      </c>
      <c r="B14" t="s">
        <v>23</v>
      </c>
      <c r="C14" t="s">
        <v>2</v>
      </c>
      <c r="D14">
        <f>VLOOKUP(C14,clasificacion!$A$1:$C$6,3,FALSE)</f>
        <v>0</v>
      </c>
    </row>
    <row r="15" spans="1:4" x14ac:dyDescent="0.25">
      <c r="A15">
        <v>13</v>
      </c>
      <c r="B15" t="s">
        <v>24</v>
      </c>
      <c r="C15" t="s">
        <v>0</v>
      </c>
      <c r="D15">
        <f>VLOOKUP(C15,clasificacion!$A$1:$C$6,3,FALSE)</f>
        <v>0.25</v>
      </c>
    </row>
    <row r="16" spans="1:4" x14ac:dyDescent="0.25">
      <c r="A16">
        <v>14</v>
      </c>
      <c r="B16" t="s">
        <v>25</v>
      </c>
      <c r="C16" t="s">
        <v>0</v>
      </c>
      <c r="D16">
        <f>VLOOKUP(C16,clasificacion!$A$1:$C$6,3,FALSE)</f>
        <v>0.25</v>
      </c>
    </row>
    <row r="17" spans="1:4" x14ac:dyDescent="0.25">
      <c r="A17">
        <v>15</v>
      </c>
      <c r="B17" t="s">
        <v>26</v>
      </c>
      <c r="C17" t="s">
        <v>0</v>
      </c>
      <c r="D17">
        <f>VLOOKUP(C17,clasificacion!$A$1:$C$6,3,FALSE)</f>
        <v>0.25</v>
      </c>
    </row>
    <row r="18" spans="1:4" x14ac:dyDescent="0.25">
      <c r="A18">
        <v>16</v>
      </c>
      <c r="B18" t="s">
        <v>27</v>
      </c>
      <c r="C18" t="s">
        <v>1</v>
      </c>
      <c r="D18">
        <f>VLOOKUP(C18,clasificacion!$A$1:$C$6,3,FALSE)</f>
        <v>0.5</v>
      </c>
    </row>
    <row r="19" spans="1:4" x14ac:dyDescent="0.25">
      <c r="A19">
        <v>17</v>
      </c>
      <c r="B19" t="s">
        <v>28</v>
      </c>
      <c r="C19" t="s">
        <v>1</v>
      </c>
      <c r="D19">
        <f>VLOOKUP(C19,clasificacion!$A$1:$C$6,3,FALSE)</f>
        <v>0.5</v>
      </c>
    </row>
    <row r="20" spans="1:4" x14ac:dyDescent="0.25">
      <c r="A20">
        <v>18</v>
      </c>
      <c r="B20" t="s">
        <v>29</v>
      </c>
      <c r="C20" t="s">
        <v>2</v>
      </c>
      <c r="D20">
        <f>VLOOKUP(C20,clasificacion!$A$1:$C$6,3,FALSE)</f>
        <v>0</v>
      </c>
    </row>
    <row r="21" spans="1:4" x14ac:dyDescent="0.25">
      <c r="A21">
        <v>19</v>
      </c>
      <c r="B21" t="s">
        <v>30</v>
      </c>
      <c r="C21" t="s">
        <v>2</v>
      </c>
      <c r="D21">
        <f>VLOOKUP(C21,clasificacion!$A$1:$C$6,3,FALSE)</f>
        <v>0</v>
      </c>
    </row>
    <row r="22" spans="1:4" x14ac:dyDescent="0.25">
      <c r="A22">
        <v>20</v>
      </c>
      <c r="B22" t="s">
        <v>31</v>
      </c>
      <c r="C22" t="s">
        <v>1</v>
      </c>
      <c r="D22">
        <f>VLOOKUP(C22,clasificacion!$A$1:$C$6,3,FALSE)</f>
        <v>0.5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95D4AC7-F2E1-4105-AB5C-B0D62EF1E595}">
          <x14:formula1>
            <xm:f>clasificacion!$A$2:$A$6</xm:f>
          </x14:formula1>
          <xm:sqref>C2:C22</xm:sqref>
        </x14:dataValidation>
        <x14:dataValidation type="list" allowBlank="1" showInputMessage="1" showErrorMessage="1" xr:uid="{A6212584-A91D-46CF-9E58-F223ED3A26CD}">
          <x14:formula1>
            <xm:f>clasificacion!$A$2:$A$9</xm:f>
          </x14:formula1>
          <xm:sqref>C23:C148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69EB2-02F9-4DD7-99DF-EA3C580068BC}">
  <sheetPr codeName="Hoja2"/>
  <dimension ref="A1:D9"/>
  <sheetViews>
    <sheetView workbookViewId="0">
      <selection activeCell="D11" sqref="D11"/>
    </sheetView>
  </sheetViews>
  <sheetFormatPr baseColWidth="10" defaultRowHeight="15" x14ac:dyDescent="0.25"/>
  <sheetData>
    <row r="1" spans="1:4" x14ac:dyDescent="0.25">
      <c r="A1" t="s">
        <v>5</v>
      </c>
      <c r="B1" t="s">
        <v>7</v>
      </c>
      <c r="C1" t="s">
        <v>8</v>
      </c>
    </row>
    <row r="2" spans="1:4" x14ac:dyDescent="0.25">
      <c r="A2" t="s">
        <v>6</v>
      </c>
      <c r="B2" t="s">
        <v>9</v>
      </c>
      <c r="C2">
        <v>1</v>
      </c>
      <c r="D2">
        <v>1</v>
      </c>
    </row>
    <row r="3" spans="1:4" x14ac:dyDescent="0.25">
      <c r="A3" t="s">
        <v>3</v>
      </c>
      <c r="C3">
        <v>0.75</v>
      </c>
      <c r="D3">
        <v>0.5</v>
      </c>
    </row>
    <row r="4" spans="1:4" x14ac:dyDescent="0.25">
      <c r="A4" t="s">
        <v>1</v>
      </c>
      <c r="C4">
        <v>0.5</v>
      </c>
      <c r="D4">
        <v>0.25</v>
      </c>
    </row>
    <row r="5" spans="1:4" x14ac:dyDescent="0.25">
      <c r="A5" t="s">
        <v>0</v>
      </c>
      <c r="C5">
        <v>0.25</v>
      </c>
      <c r="D5">
        <v>0.125</v>
      </c>
    </row>
    <row r="6" spans="1:4" x14ac:dyDescent="0.25">
      <c r="A6" t="s">
        <v>2</v>
      </c>
      <c r="B6" t="s">
        <v>10</v>
      </c>
      <c r="C6">
        <v>0</v>
      </c>
      <c r="D6">
        <v>0</v>
      </c>
    </row>
    <row r="8" spans="1:4" x14ac:dyDescent="0.25">
      <c r="C8" s="1"/>
    </row>
    <row r="9" spans="1:4" x14ac:dyDescent="0.25">
      <c r="C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nombre_ifv</vt:lpstr>
      <vt:lpstr>clasificacion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Victor</dc:creator>
  <cp:keywords>Keywords</cp:keywords>
  <cp:lastModifiedBy>Lab Luis  Bojorquez</cp:lastModifiedBy>
  <dcterms:created xsi:type="dcterms:W3CDTF">2021-01-12T23:28:30Z</dcterms:created>
  <dcterms:modified xsi:type="dcterms:W3CDTF">2024-12-11T20:22:46Z</dcterms:modified>
</cp:coreProperties>
</file>